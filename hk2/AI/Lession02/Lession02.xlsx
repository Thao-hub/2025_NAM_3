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NAM_3\hk2\AI\Lession02\"/>
    </mc:Choice>
  </mc:AlternateContent>
  <xr:revisionPtr revIDLastSave="0" documentId="13_ncr:1_{2915300F-2F21-4AC5-A733-8FF075E83752}" xr6:coauthVersionLast="47" xr6:coauthVersionMax="47" xr10:uidLastSave="{00000000-0000-0000-0000-000000000000}"/>
  <bookViews>
    <workbookView xWindow="-110" yWindow="-110" windowWidth="19420" windowHeight="10300" xr2:uid="{8AE83145-9860-4214-B197-C668455E222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D8" i="2"/>
  <c r="C8" i="2"/>
  <c r="F9" i="2"/>
  <c r="C9" i="2"/>
  <c r="C10" i="2"/>
  <c r="F10" i="2" s="1"/>
  <c r="F4" i="2"/>
  <c r="D10" i="2"/>
  <c r="G10" i="2" s="1"/>
  <c r="D11" i="2"/>
  <c r="G11" i="2" s="1"/>
  <c r="D12" i="2"/>
  <c r="G12" i="2" s="1"/>
  <c r="D9" i="2"/>
  <c r="G9" i="2" s="1"/>
  <c r="E9" i="2" l="1"/>
  <c r="C12" i="2"/>
  <c r="E12" i="2" s="1"/>
  <c r="C11" i="2"/>
  <c r="E11" i="2" s="1"/>
  <c r="G13" i="2"/>
  <c r="E10" i="2"/>
  <c r="E13" i="2" s="1"/>
  <c r="F12" i="2" l="1"/>
  <c r="F11" i="2"/>
  <c r="F13" i="2" l="1"/>
</calcChain>
</file>

<file path=xl/sharedStrings.xml><?xml version="1.0" encoding="utf-8"?>
<sst xmlns="http://schemas.openxmlformats.org/spreadsheetml/2006/main" count="91" uniqueCount="42">
  <si>
    <t>Correlation</t>
  </si>
  <si>
    <t xml:space="preserve">age </t>
  </si>
  <si>
    <t>x</t>
  </si>
  <si>
    <t>Year of Experience</t>
  </si>
  <si>
    <t>miền giá trị</t>
  </si>
  <si>
    <t>[-1, 1]</t>
  </si>
  <si>
    <t>x-mean</t>
  </si>
  <si>
    <t>mean</t>
  </si>
  <si>
    <t>tử</t>
  </si>
  <si>
    <t>(x-mean)^2</t>
  </si>
  <si>
    <t>Tổng</t>
  </si>
  <si>
    <t>Corr</t>
  </si>
  <si>
    <t>Label Encoder</t>
  </si>
  <si>
    <t xml:space="preserve">imput </t>
  </si>
  <si>
    <t>Output</t>
  </si>
  <si>
    <t xml:space="preserve">Input </t>
  </si>
  <si>
    <t>Gender</t>
  </si>
  <si>
    <t>Alphabet</t>
  </si>
  <si>
    <t>Color</t>
  </si>
  <si>
    <t>Male</t>
  </si>
  <si>
    <t>Fermale</t>
  </si>
  <si>
    <t>red</t>
  </si>
  <si>
    <t>blue</t>
  </si>
  <si>
    <t>cyan</t>
  </si>
  <si>
    <t>orange</t>
  </si>
  <si>
    <t>prange</t>
  </si>
  <si>
    <t>Ordinal Encoder</t>
  </si>
  <si>
    <t>Education Level</t>
  </si>
  <si>
    <t>Female</t>
  </si>
  <si>
    <t>PhD</t>
  </si>
  <si>
    <t>Master</t>
  </si>
  <si>
    <t>High school</t>
  </si>
  <si>
    <t>One hot encoder</t>
  </si>
  <si>
    <t>Input</t>
  </si>
  <si>
    <t>Fermal</t>
  </si>
  <si>
    <t>Other</t>
  </si>
  <si>
    <t xml:space="preserve">Male </t>
  </si>
  <si>
    <t>One hot encoder (drop drist)</t>
  </si>
  <si>
    <t xml:space="preserve">Gerder </t>
  </si>
  <si>
    <t>ma trận</t>
  </si>
  <si>
    <t>biến rời rạc có nhiều hơn 2 giá trị</t>
  </si>
  <si>
    <t>mẫu(căn của (234*26))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</si>
</sst>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0" xfId="0" applyFont="1"/>
    <xf numFmtId="0" fontId="0" fillId="2" borderId="0" xfId="0" applyFill="1"/>
    <xf numFmtId="0" fontId="0" fillId="3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47DD-9534-4312-8456-B07DB1D5EBA3}">
  <dimension ref="B2:Y53"/>
  <sheetViews>
    <sheetView tabSelected="1" topLeftCell="A3" zoomScale="113" zoomScaleNormal="130" workbookViewId="0">
      <selection activeCell="H11" sqref="H11"/>
    </sheetView>
  </sheetViews>
  <sheetFormatPr defaultRowHeight="14.5" x14ac:dyDescent="0.35"/>
  <cols>
    <col min="3" max="3" width="16.453125" customWidth="1"/>
    <col min="4" max="4" width="20.1796875" bestFit="1" customWidth="1"/>
    <col min="8" max="8" width="10.453125" bestFit="1" customWidth="1"/>
  </cols>
  <sheetData>
    <row r="2" spans="2:7" x14ac:dyDescent="0.35">
      <c r="C2" t="s">
        <v>0</v>
      </c>
    </row>
    <row r="3" spans="2:7" x14ac:dyDescent="0.35">
      <c r="C3" t="s">
        <v>1</v>
      </c>
      <c r="D3" s="4" t="s">
        <v>3</v>
      </c>
      <c r="E3" s="4"/>
      <c r="G3" t="s">
        <v>4</v>
      </c>
    </row>
    <row r="4" spans="2:7" x14ac:dyDescent="0.35">
      <c r="B4" s="5" t="s">
        <v>2</v>
      </c>
      <c r="C4">
        <v>21</v>
      </c>
      <c r="D4">
        <v>3</v>
      </c>
      <c r="F4">
        <f>CORREL(C4:C7,D4:D7)</f>
        <v>0.98717948717948723</v>
      </c>
      <c r="G4" t="s">
        <v>5</v>
      </c>
    </row>
    <row r="5" spans="2:7" x14ac:dyDescent="0.35">
      <c r="B5" s="5"/>
      <c r="C5">
        <v>28</v>
      </c>
      <c r="D5">
        <v>5</v>
      </c>
    </row>
    <row r="6" spans="2:7" x14ac:dyDescent="0.35">
      <c r="B6" s="5"/>
      <c r="C6">
        <v>33</v>
      </c>
      <c r="D6">
        <v>6</v>
      </c>
    </row>
    <row r="7" spans="2:7" x14ac:dyDescent="0.35">
      <c r="B7" s="5"/>
      <c r="C7">
        <v>42</v>
      </c>
      <c r="D7">
        <v>10</v>
      </c>
    </row>
    <row r="8" spans="2:7" x14ac:dyDescent="0.35">
      <c r="B8" t="s">
        <v>7</v>
      </c>
      <c r="C8" s="9">
        <f>AVERAGE(C4:C7)</f>
        <v>31</v>
      </c>
      <c r="D8" s="9">
        <f>AVERAGE(D4:D7)</f>
        <v>6</v>
      </c>
      <c r="E8" t="s">
        <v>8</v>
      </c>
      <c r="F8" s="6" t="s">
        <v>9</v>
      </c>
      <c r="G8" s="6"/>
    </row>
    <row r="9" spans="2:7" x14ac:dyDescent="0.35">
      <c r="B9" s="5" t="s">
        <v>6</v>
      </c>
      <c r="C9" s="7">
        <f>C4-C$8</f>
        <v>-10</v>
      </c>
      <c r="D9" s="7">
        <f>D4-D$8</f>
        <v>-3</v>
      </c>
      <c r="E9" s="10">
        <f>C9*D9</f>
        <v>30</v>
      </c>
      <c r="F9" s="7">
        <f>C9^2</f>
        <v>100</v>
      </c>
      <c r="G9" s="7">
        <f>D9^2</f>
        <v>9</v>
      </c>
    </row>
    <row r="10" spans="2:7" x14ac:dyDescent="0.35">
      <c r="B10" s="5"/>
      <c r="C10" s="7">
        <f t="shared" ref="C10:D12" si="0">C5-C$8</f>
        <v>-3</v>
      </c>
      <c r="D10" s="7">
        <f t="shared" si="0"/>
        <v>-1</v>
      </c>
      <c r="E10" s="10">
        <f t="shared" ref="E10:E12" si="1">C10*D10</f>
        <v>3</v>
      </c>
      <c r="F10" s="7">
        <f t="shared" ref="F10:F12" si="2">C10^2</f>
        <v>9</v>
      </c>
      <c r="G10" s="7">
        <f t="shared" ref="G10:G12" si="3">D10^2</f>
        <v>1</v>
      </c>
    </row>
    <row r="11" spans="2:7" x14ac:dyDescent="0.35">
      <c r="B11" s="5"/>
      <c r="C11" s="7">
        <f t="shared" si="0"/>
        <v>2</v>
      </c>
      <c r="D11" s="7">
        <f t="shared" si="0"/>
        <v>0</v>
      </c>
      <c r="E11" s="10">
        <f t="shared" si="1"/>
        <v>0</v>
      </c>
      <c r="F11" s="7">
        <f t="shared" si="2"/>
        <v>4</v>
      </c>
      <c r="G11" s="7">
        <f t="shared" si="3"/>
        <v>0</v>
      </c>
    </row>
    <row r="12" spans="2:7" x14ac:dyDescent="0.35">
      <c r="B12" s="5"/>
      <c r="C12" s="7">
        <f t="shared" si="0"/>
        <v>11</v>
      </c>
      <c r="D12" s="7">
        <f t="shared" si="0"/>
        <v>4</v>
      </c>
      <c r="E12" s="10">
        <f t="shared" si="1"/>
        <v>44</v>
      </c>
      <c r="F12" s="7">
        <f t="shared" si="2"/>
        <v>121</v>
      </c>
      <c r="G12" s="7">
        <f t="shared" si="3"/>
        <v>16</v>
      </c>
    </row>
    <row r="13" spans="2:7" x14ac:dyDescent="0.35">
      <c r="D13" t="s">
        <v>10</v>
      </c>
      <c r="E13" s="11">
        <f>SUM(E9:E12)</f>
        <v>77</v>
      </c>
      <c r="F13" s="11">
        <f>SUM(F9:F12)</f>
        <v>234</v>
      </c>
      <c r="G13" s="11">
        <f>SUM(G9:G12)</f>
        <v>26</v>
      </c>
    </row>
    <row r="14" spans="2:7" x14ac:dyDescent="0.35">
      <c r="D14" t="s">
        <v>41</v>
      </c>
      <c r="E14">
        <f>SQRT(F13*G13)</f>
        <v>78</v>
      </c>
    </row>
    <row r="15" spans="2:7" x14ac:dyDescent="0.35">
      <c r="D15" t="s">
        <v>11</v>
      </c>
      <c r="E15">
        <f>E13/E14</f>
        <v>0.98717948717948723</v>
      </c>
    </row>
    <row r="17" spans="2:25" x14ac:dyDescent="0.35">
      <c r="C17" t="s">
        <v>12</v>
      </c>
    </row>
    <row r="18" spans="2:25" x14ac:dyDescent="0.35">
      <c r="B18" t="s">
        <v>13</v>
      </c>
      <c r="C18" t="s">
        <v>14</v>
      </c>
      <c r="H18" t="s">
        <v>15</v>
      </c>
      <c r="I18" t="s">
        <v>14</v>
      </c>
      <c r="X18" t="s">
        <v>17</v>
      </c>
    </row>
    <row r="19" spans="2:25" x14ac:dyDescent="0.35">
      <c r="B19" t="s">
        <v>16</v>
      </c>
      <c r="E19" t="s">
        <v>17</v>
      </c>
      <c r="H19" t="s">
        <v>18</v>
      </c>
      <c r="X19" t="s">
        <v>20</v>
      </c>
      <c r="Y19" t="s">
        <v>19</v>
      </c>
    </row>
    <row r="20" spans="2:25" x14ac:dyDescent="0.35">
      <c r="B20" t="s">
        <v>19</v>
      </c>
      <c r="C20">
        <v>1</v>
      </c>
      <c r="E20" t="s">
        <v>20</v>
      </c>
      <c r="F20" t="s">
        <v>19</v>
      </c>
      <c r="H20" t="s">
        <v>21</v>
      </c>
      <c r="I20">
        <v>3</v>
      </c>
      <c r="K20" t="s">
        <v>22</v>
      </c>
      <c r="L20" t="s">
        <v>23</v>
      </c>
      <c r="M20" t="s">
        <v>24</v>
      </c>
      <c r="V20" t="s">
        <v>16</v>
      </c>
      <c r="X20">
        <v>0</v>
      </c>
      <c r="Y20">
        <v>1</v>
      </c>
    </row>
    <row r="21" spans="2:25" x14ac:dyDescent="0.35">
      <c r="B21" t="s">
        <v>19</v>
      </c>
      <c r="C21">
        <v>1</v>
      </c>
      <c r="E21">
        <v>0</v>
      </c>
      <c r="F21">
        <v>1</v>
      </c>
      <c r="H21" t="s">
        <v>22</v>
      </c>
      <c r="I21">
        <v>0</v>
      </c>
      <c r="K21">
        <v>0</v>
      </c>
      <c r="L21">
        <v>1</v>
      </c>
      <c r="M21">
        <v>2</v>
      </c>
      <c r="V21" t="s">
        <v>19</v>
      </c>
      <c r="W21">
        <v>1</v>
      </c>
      <c r="X21" s="7">
        <v>0</v>
      </c>
      <c r="Y21" s="7">
        <v>1</v>
      </c>
    </row>
    <row r="22" spans="2:25" x14ac:dyDescent="0.35">
      <c r="B22" t="s">
        <v>20</v>
      </c>
      <c r="C22">
        <v>0</v>
      </c>
      <c r="H22" t="s">
        <v>21</v>
      </c>
      <c r="I22">
        <v>3</v>
      </c>
      <c r="V22" t="s">
        <v>19</v>
      </c>
      <c r="W22">
        <v>1</v>
      </c>
      <c r="X22" s="7">
        <v>0</v>
      </c>
      <c r="Y22" s="7">
        <v>1</v>
      </c>
    </row>
    <row r="23" spans="2:25" x14ac:dyDescent="0.35">
      <c r="B23" t="s">
        <v>19</v>
      </c>
      <c r="C23">
        <v>1</v>
      </c>
      <c r="H23" t="s">
        <v>25</v>
      </c>
      <c r="I23">
        <v>2</v>
      </c>
      <c r="V23" t="s">
        <v>20</v>
      </c>
      <c r="W23">
        <v>0</v>
      </c>
      <c r="X23" s="7">
        <v>1</v>
      </c>
      <c r="Y23" s="7">
        <v>0</v>
      </c>
    </row>
    <row r="24" spans="2:25" x14ac:dyDescent="0.35">
      <c r="H24" t="s">
        <v>23</v>
      </c>
      <c r="I24">
        <v>1</v>
      </c>
      <c r="V24" t="s">
        <v>19</v>
      </c>
      <c r="W24">
        <v>1</v>
      </c>
      <c r="X24" s="7">
        <v>0</v>
      </c>
      <c r="Y24" s="7">
        <v>1</v>
      </c>
    </row>
    <row r="25" spans="2:25" x14ac:dyDescent="0.35">
      <c r="H25" t="s">
        <v>22</v>
      </c>
      <c r="I25">
        <v>0</v>
      </c>
    </row>
    <row r="28" spans="2:25" x14ac:dyDescent="0.35">
      <c r="C28" t="s">
        <v>26</v>
      </c>
    </row>
    <row r="29" spans="2:25" x14ac:dyDescent="0.35">
      <c r="B29" s="8" t="s">
        <v>16</v>
      </c>
      <c r="C29" s="8" t="s">
        <v>27</v>
      </c>
      <c r="E29" t="s">
        <v>39</v>
      </c>
      <c r="G29" t="s">
        <v>16</v>
      </c>
      <c r="H29" t="s">
        <v>28</v>
      </c>
      <c r="I29" t="s">
        <v>19</v>
      </c>
    </row>
    <row r="30" spans="2:25" x14ac:dyDescent="0.35">
      <c r="B30" t="s">
        <v>19</v>
      </c>
      <c r="C30" t="s">
        <v>29</v>
      </c>
      <c r="D30">
        <v>1</v>
      </c>
      <c r="E30">
        <v>2</v>
      </c>
      <c r="H30">
        <v>0</v>
      </c>
      <c r="I30">
        <v>1</v>
      </c>
    </row>
    <row r="31" spans="2:25" x14ac:dyDescent="0.35">
      <c r="B31" t="s">
        <v>28</v>
      </c>
      <c r="C31" t="s">
        <v>30</v>
      </c>
      <c r="D31">
        <v>0</v>
      </c>
      <c r="E31">
        <v>1</v>
      </c>
      <c r="G31" s="2" t="s">
        <v>27</v>
      </c>
      <c r="H31" t="s">
        <v>31</v>
      </c>
      <c r="I31" t="s">
        <v>30</v>
      </c>
      <c r="J31" t="s">
        <v>29</v>
      </c>
    </row>
    <row r="32" spans="2:25" x14ac:dyDescent="0.35">
      <c r="B32" t="s">
        <v>19</v>
      </c>
      <c r="C32" t="s">
        <v>30</v>
      </c>
      <c r="D32">
        <v>1</v>
      </c>
      <c r="E32">
        <v>1</v>
      </c>
      <c r="H32">
        <v>0</v>
      </c>
      <c r="I32">
        <v>1</v>
      </c>
      <c r="J32">
        <v>2</v>
      </c>
    </row>
    <row r="33" spans="2:10" x14ac:dyDescent="0.35">
      <c r="B33" t="s">
        <v>19</v>
      </c>
      <c r="C33" t="s">
        <v>31</v>
      </c>
      <c r="D33">
        <v>1</v>
      </c>
      <c r="E33">
        <v>0</v>
      </c>
    </row>
    <row r="36" spans="2:10" x14ac:dyDescent="0.35">
      <c r="C36" t="s">
        <v>32</v>
      </c>
      <c r="E36" s="1" t="s">
        <v>40</v>
      </c>
      <c r="F36" s="1"/>
      <c r="G36" s="1"/>
    </row>
    <row r="37" spans="2:10" x14ac:dyDescent="0.35">
      <c r="B37" t="s">
        <v>33</v>
      </c>
      <c r="C37" t="s">
        <v>14</v>
      </c>
    </row>
    <row r="38" spans="2:10" x14ac:dyDescent="0.35">
      <c r="B38" t="s">
        <v>16</v>
      </c>
      <c r="C38" s="3" t="s">
        <v>34</v>
      </c>
      <c r="D38" s="3" t="s">
        <v>19</v>
      </c>
      <c r="E38" s="3" t="s">
        <v>35</v>
      </c>
      <c r="F38" t="s">
        <v>34</v>
      </c>
      <c r="G38" t="s">
        <v>19</v>
      </c>
      <c r="H38" t="s">
        <v>35</v>
      </c>
    </row>
    <row r="39" spans="2:10" x14ac:dyDescent="0.35">
      <c r="B39" t="s">
        <v>36</v>
      </c>
      <c r="C39" s="3">
        <v>0</v>
      </c>
      <c r="D39" s="3">
        <v>1</v>
      </c>
      <c r="E39" s="3">
        <v>0</v>
      </c>
      <c r="F39">
        <v>0</v>
      </c>
      <c r="G39">
        <v>1</v>
      </c>
      <c r="H39">
        <v>2</v>
      </c>
    </row>
    <row r="40" spans="2:10" x14ac:dyDescent="0.35">
      <c r="B40" t="s">
        <v>20</v>
      </c>
      <c r="C40" s="3">
        <v>1</v>
      </c>
      <c r="D40" s="3">
        <v>0</v>
      </c>
      <c r="E40" s="3">
        <v>0</v>
      </c>
    </row>
    <row r="41" spans="2:10" x14ac:dyDescent="0.35">
      <c r="B41" t="s">
        <v>36</v>
      </c>
      <c r="C41" s="3">
        <v>0</v>
      </c>
      <c r="D41" s="3">
        <v>1</v>
      </c>
      <c r="E41" s="3">
        <v>0</v>
      </c>
    </row>
    <row r="42" spans="2:10" x14ac:dyDescent="0.35">
      <c r="B42" t="s">
        <v>35</v>
      </c>
      <c r="C42" s="3">
        <v>0</v>
      </c>
      <c r="D42" s="3">
        <v>0</v>
      </c>
      <c r="E42" s="3">
        <v>1</v>
      </c>
    </row>
    <row r="43" spans="2:10" x14ac:dyDescent="0.35">
      <c r="B43" t="s">
        <v>36</v>
      </c>
      <c r="C43" s="3">
        <v>0</v>
      </c>
      <c r="D43" s="3">
        <v>1</v>
      </c>
      <c r="E43" s="3">
        <v>0</v>
      </c>
    </row>
    <row r="46" spans="2:10" x14ac:dyDescent="0.35">
      <c r="C46" t="s">
        <v>37</v>
      </c>
    </row>
    <row r="47" spans="2:10" x14ac:dyDescent="0.35">
      <c r="B47" t="s">
        <v>33</v>
      </c>
    </row>
    <row r="48" spans="2:10" x14ac:dyDescent="0.35">
      <c r="B48" t="s">
        <v>16</v>
      </c>
      <c r="G48" t="s">
        <v>38</v>
      </c>
      <c r="H48" t="s">
        <v>20</v>
      </c>
      <c r="I48" t="s">
        <v>19</v>
      </c>
      <c r="J48" t="s">
        <v>35</v>
      </c>
    </row>
    <row r="49" spans="2:10" x14ac:dyDescent="0.35">
      <c r="B49" t="s">
        <v>36</v>
      </c>
      <c r="C49">
        <v>1</v>
      </c>
      <c r="D49">
        <v>0</v>
      </c>
      <c r="H49">
        <v>0</v>
      </c>
      <c r="I49">
        <v>1</v>
      </c>
      <c r="J49">
        <v>2</v>
      </c>
    </row>
    <row r="50" spans="2:10" x14ac:dyDescent="0.35">
      <c r="B50" t="s">
        <v>20</v>
      </c>
      <c r="C50">
        <v>0</v>
      </c>
      <c r="D50">
        <v>0</v>
      </c>
    </row>
    <row r="51" spans="2:10" x14ac:dyDescent="0.35">
      <c r="B51" t="s">
        <v>36</v>
      </c>
      <c r="C51">
        <v>1</v>
      </c>
      <c r="D51">
        <v>0</v>
      </c>
    </row>
    <row r="52" spans="2:10" x14ac:dyDescent="0.35">
      <c r="B52" t="s">
        <v>35</v>
      </c>
      <c r="C52">
        <v>0</v>
      </c>
      <c r="D52">
        <v>1</v>
      </c>
    </row>
    <row r="53" spans="2:10" x14ac:dyDescent="0.35">
      <c r="B53" t="s">
        <v>36</v>
      </c>
      <c r="C53">
        <v>1</v>
      </c>
      <c r="D53">
        <v>0</v>
      </c>
    </row>
  </sheetData>
  <mergeCells count="4">
    <mergeCell ref="D3:E3"/>
    <mergeCell ref="B4:B7"/>
    <mergeCell ref="B9:B12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2026-03-06T03:16:50Z</dcterms:created>
  <dcterms:modified xsi:type="dcterms:W3CDTF">2026-03-21T03:46:25Z</dcterms:modified>
</cp:coreProperties>
</file>